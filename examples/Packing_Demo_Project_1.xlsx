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d32c2c8d7c46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ructions" sheetId="1" r:id="R8427636f1aa84287"/>
    <x:sheet xmlns:r="http://schemas.openxmlformats.org/officeDocument/2006/relationships" name="Actual Packing" sheetId="2" r:id="R865d4cff88b04d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1F1F1F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8E1"/>
      </x:patternFill>
    </x:fill>
    <x:fill>
      <x:patternFill patternType="solid">
        <x:fgColor rgb="FFEAF2F8"/>
      </x:patternFill>
    </x:fill>
    <x:fill>
      <x:patternFill patternType="solid">
        <x:fgColor rgb="FFF4F8FC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200" fontId="1" fillId="5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0ea355b69c47e2" /><Relationship Type="http://schemas.openxmlformats.org/officeDocument/2006/relationships/theme" Target="/xl/theme/theme1.xml" Id="R6f07bfba5e56443f" /><Relationship Type="http://schemas.openxmlformats.org/officeDocument/2006/relationships/sharedStrings" Target="/xl/sharedStrings.xml" Id="R51982d01dcd9410b" /><Relationship Type="http://schemas.openxmlformats.org/officeDocument/2006/relationships/worksheet" Target="/xl/worksheets/sheet1.xml" Id="R8427636f1aa84287" /><Relationship Type="http://schemas.openxmlformats.org/officeDocument/2006/relationships/worksheet" Target="/xl/worksheets/sheet2.xml" Id="R865d4cff88b04d65" /></Relationships>
</file>

<file path=xl/tables/table1.xml><?xml version="1.0" encoding="utf-8"?>
<x:table xmlns:x="http://schemas.openxmlformats.org/spreadsheetml/2006/main" id="1" name="ConstructionsTable" displayName="ConstructionsTable" ref="A1:K7" headerRowCount="1" totalsRowCount="0" totalsRowShown="0">
  <x:tableColumns count="11">
    <x:tableColumn id="1" name="Project"/>
    <x:tableColumn id="2" name="Item"/>
    <x:tableColumn id="3" name="Type"/>
    <x:tableColumn id="4" name="Width (mm)"/>
    <x:tableColumn id="5" name="Height (mm)"/>
    <x:tableColumn id="6" name="Qty"/>
    <x:tableColumn id="7" name="Frame weight (kg)"/>
    <x:tableColumn id="8" name="Glass weight (kg)"/>
    <x:tableColumn id="9" name="Glass mode"/>
    <x:tableColumn id="10" name="Unit total weight (kg)"/>
    <x:tableColumn id="11" name="Position total weight (kg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ualPackingTable" displayName="ActualPackingTable" ref="A1:D8" headerRowCount="1" totalsRowCount="0" totalsRowShown="0">
  <x:tableColumns count="4">
    <x:tableColumn id="1" name="Project"/>
    <x:tableColumn id="2" name="Pallet"/>
    <x:tableColumn id="3" name="Item"/>
    <x:tableColumn id="4" name="Qty on pall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6241e88e264f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5667b9e2794433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14" hidden="0" customWidth="1"/>
    <x:col min="5" max="5" width="14" hidden="0" customWidth="1"/>
    <x:col min="6" max="6" width="8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4" customHeight="1">
      <x:c r="A1" s="8" t="str">
        <x:v>Project</x:v>
      </x:c>
      <x:c r="B1" s="8" t="str">
        <x:v>Item</x:v>
      </x:c>
      <x:c r="C1" s="8" t="str">
        <x:v>Type</x:v>
      </x:c>
      <x:c r="D1" s="8" t="str">
        <x:v>Width (mm)</x:v>
      </x:c>
      <x:c r="E1" s="8" t="str">
        <x:v>Height (mm)</x:v>
      </x:c>
      <x:c r="F1" s="8" t="str">
        <x:v>Qty</x:v>
      </x:c>
      <x:c r="G1" s="8" t="str">
        <x:v>Frame weight (kg)</x:v>
      </x:c>
      <x:c r="H1" s="8" t="str">
        <x:v>Glass weight (kg)</x:v>
      </x:c>
      <x:c r="I1" s="8" t="str">
        <x:v>Glass mode</x:v>
      </x:c>
      <x:c r="J1" s="8" t="str">
        <x:v>Unit total weight (kg)</x:v>
      </x:c>
      <x:c r="K1" s="8" t="str">
        <x:v>Position total weight (kg)</x:v>
      </x:c>
    </x:row>
    <x:row r="2">
      <x:c r="A2" s="10" t="str">
        <x:v>Project 1</x:v>
      </x:c>
      <x:c r="B2" s="10" t="str">
        <x:v>D01</x:v>
      </x:c>
      <x:c r="C2" s="10" t="str">
        <x:v>Door</x:v>
      </x:c>
      <x:c r="D2" s="12" t="n">
        <x:v>1200</x:v>
      </x:c>
      <x:c r="E2" s="12" t="n">
        <x:v>2400</x:v>
      </x:c>
      <x:c r="F2" s="12" t="n">
        <x:v>3</x:v>
      </x:c>
      <x:c r="G2" s="12" t="n">
        <x:v>60</x:v>
      </x:c>
      <x:c r="H2" s="12" t="n">
        <x:v>80</x:v>
      </x:c>
      <x:c r="I2" s="12" t="str">
        <x:v>Glazed</x:v>
      </x:c>
      <x:c r="J2" s="13" t="n">
        <x:f>IF(I2="Glazed",G2+H2,G2)</x:f>
        <x:v>140</x:v>
      </x:c>
      <x:c r="K2" s="13" t="n">
        <x:f>F2*J2</x:f>
        <x:v>420</x:v>
      </x:c>
    </x:row>
    <x:row r="3">
      <x:c r="A3" s="10" t="str">
        <x:v>Project 1</x:v>
      </x:c>
      <x:c r="B3" s="10" t="str">
        <x:v>D02</x:v>
      </x:c>
      <x:c r="C3" s="10" t="str">
        <x:v>Door</x:v>
      </x:c>
      <x:c r="D3" s="12" t="n">
        <x:v>2400</x:v>
      </x:c>
      <x:c r="E3" s="12" t="n">
        <x:v>2600</x:v>
      </x:c>
      <x:c r="F3" s="12" t="n">
        <x:v>2</x:v>
      </x:c>
      <x:c r="G3" s="12" t="n">
        <x:v>100</x:v>
      </x:c>
      <x:c r="H3" s="12" t="n">
        <x:v>120</x:v>
      </x:c>
      <x:c r="I3" s="12" t="str">
        <x:v>Glazed</x:v>
      </x:c>
      <x:c r="J3" s="13" t="n">
        <x:f>IF(I3="Glazed",G3+H3,G3)</x:f>
        <x:v>220</x:v>
      </x:c>
      <x:c r="K3" s="13" t="n">
        <x:f>F3*J3</x:f>
        <x:v>440</x:v>
      </x:c>
    </x:row>
    <x:row r="4">
      <x:c r="A4" s="10" t="str">
        <x:v>Project 1</x:v>
      </x:c>
      <x:c r="B4" s="10" t="str">
        <x:v>D03</x:v>
      </x:c>
      <x:c r="C4" s="10" t="str">
        <x:v>Door</x:v>
      </x:c>
      <x:c r="D4" s="12" t="n">
        <x:v>1500</x:v>
      </x:c>
      <x:c r="E4" s="12" t="n">
        <x:v>2500</x:v>
      </x:c>
      <x:c r="F4" s="12" t="n">
        <x:v>5</x:v>
      </x:c>
      <x:c r="G4" s="12" t="n">
        <x:v>70</x:v>
      </x:c>
      <x:c r="H4" s="12" t="n">
        <x:v>90</x:v>
      </x:c>
      <x:c r="I4" s="12" t="str">
        <x:v>Glazed</x:v>
      </x:c>
      <x:c r="J4" s="13" t="n">
        <x:f>IF(I4="Glazed",G4+H4,G4)</x:f>
        <x:v>160</x:v>
      </x:c>
      <x:c r="K4" s="13" t="n">
        <x:f>F4*J4</x:f>
        <x:v>800</x:v>
      </x:c>
    </x:row>
    <x:row r="5">
      <x:c r="A5" s="10" t="str">
        <x:v>Project 1</x:v>
      </x:c>
      <x:c r="B5" s="10" t="str">
        <x:v>W01</x:v>
      </x:c>
      <x:c r="C5" s="10" t="str">
        <x:v>Window</x:v>
      </x:c>
      <x:c r="D5" s="12" t="n">
        <x:v>600</x:v>
      </x:c>
      <x:c r="E5" s="12" t="n">
        <x:v>1200</x:v>
      </x:c>
      <x:c r="F5" s="12" t="n">
        <x:v>4</x:v>
      </x:c>
      <x:c r="G5" s="12" t="n">
        <x:v>30</x:v>
      </x:c>
      <x:c r="H5" s="12" t="n">
        <x:v>40</x:v>
      </x:c>
      <x:c r="I5" s="12" t="str">
        <x:v>Glazed</x:v>
      </x:c>
      <x:c r="J5" s="13" t="n">
        <x:f>IF(I5="Glazed",G5+H5,G5)</x:f>
        <x:v>70</x:v>
      </x:c>
      <x:c r="K5" s="13" t="n">
        <x:f>F5*J5</x:f>
        <x:v>280</x:v>
      </x:c>
    </x:row>
    <x:row r="6">
      <x:c r="A6" s="10" t="str">
        <x:v>Project 1</x:v>
      </x:c>
      <x:c r="B6" s="10" t="str">
        <x:v>W02</x:v>
      </x:c>
      <x:c r="C6" s="10" t="str">
        <x:v>Window</x:v>
      </x:c>
      <x:c r="D6" s="12" t="n">
        <x:v>1100</x:v>
      </x:c>
      <x:c r="E6" s="12" t="n">
        <x:v>1400</x:v>
      </x:c>
      <x:c r="F6" s="12" t="n">
        <x:v>2</x:v>
      </x:c>
      <x:c r="G6" s="12" t="n">
        <x:v>70</x:v>
      </x:c>
      <x:c r="H6" s="12" t="n">
        <x:v>80</x:v>
      </x:c>
      <x:c r="I6" s="12" t="str">
        <x:v>Glazed</x:v>
      </x:c>
      <x:c r="J6" s="13" t="n">
        <x:f>IF(I6="Glazed",G6+H6,G6)</x:f>
        <x:v>150</x:v>
      </x:c>
      <x:c r="K6" s="13" t="n">
        <x:f>F6*J6</x:f>
        <x:v>300</x:v>
      </x:c>
    </x:row>
    <x:row r="7">
      <x:c r="A7" s="10" t="str">
        <x:v>Project 1</x:v>
      </x:c>
      <x:c r="B7" s="10" t="str">
        <x:v>W03</x:v>
      </x:c>
      <x:c r="C7" s="10" t="str">
        <x:v>Window</x:v>
      </x:c>
      <x:c r="D7" s="12" t="n">
        <x:v>1600</x:v>
      </x:c>
      <x:c r="E7" s="12" t="n">
        <x:v>2000</x:v>
      </x:c>
      <x:c r="F7" s="12" t="n">
        <x:v>4</x:v>
      </x:c>
      <x:c r="G7" s="12" t="n">
        <x:v>80</x:v>
      </x:c>
      <x:c r="H7" s="12" t="n">
        <x:v>90</x:v>
      </x:c>
      <x:c r="I7" s="12" t="str">
        <x:v>Glazed</x:v>
      </x:c>
      <x:c r="J7" s="13" t="n">
        <x:f>IF(I7="Glazed",G7+H7,G7)</x:f>
        <x:v>170</x:v>
      </x:c>
      <x:c r="K7" s="13" t="n">
        <x:f>F7*J7</x:f>
        <x:v>680</x:v>
      </x:c>
    </x:row>
  </x:sheetData>
  <x:dataValidations count="3">
    <x:dataValidation type="list" sqref="C2:C100">
      <x:formula1>"Door,Window"</x:formula1>
    </x:dataValidation>
    <x:dataValidation type="list" sqref="I2:I100">
      <x:formula1>"Glazed,Unglazed,Without glass"</x:formula1>
    </x:dataValidation>
    <x:dataValidation type="whole" operator="between" sqref="F2:F100">
      <x:formula1>1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96241e88e264f52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16" hidden="0" customWidth="1"/>
  </x:cols>
  <x:sheetData>
    <x:row r="1" ht="34" customHeight="1">
      <x:c r="A1" s="8" t="str">
        <x:v>Project</x:v>
      </x:c>
      <x:c r="B1" s="8" t="str">
        <x:v>Pallet</x:v>
      </x:c>
      <x:c r="C1" s="8" t="str">
        <x:v>Item</x:v>
      </x:c>
      <x:c r="D1" s="8" t="str">
        <x:v>Qty on pallet</x:v>
      </x:c>
    </x:row>
    <x:row r="2">
      <x:c r="A2" s="14" t="str">
        <x:v>Project 1</x:v>
      </x:c>
      <x:c r="B2" s="15" t="n">
        <x:v>1</x:v>
      </x:c>
      <x:c r="C2" s="15" t="str">
        <x:v>D01</x:v>
      </x:c>
      <x:c r="D2" s="15" t="n">
        <x:v>3</x:v>
      </x:c>
    </x:row>
    <x:row r="3">
      <x:c r="A3" s="14" t="str">
        <x:v>Project 1</x:v>
      </x:c>
      <x:c r="B3" s="15" t="n">
        <x:v>1</x:v>
      </x:c>
      <x:c r="C3" s="15" t="str">
        <x:v>W02</x:v>
      </x:c>
      <x:c r="D3" s="15" t="n">
        <x:v>2</x:v>
      </x:c>
    </x:row>
    <x:row r="4">
      <x:c r="A4" s="14" t="str">
        <x:v>Project 1</x:v>
      </x:c>
      <x:c r="B4" s="15" t="n">
        <x:v>2</x:v>
      </x:c>
      <x:c r="C4" s="15" t="str">
        <x:v>D02</x:v>
      </x:c>
      <x:c r="D4" s="15" t="n">
        <x:v>2</x:v>
      </x:c>
    </x:row>
    <x:row r="5">
      <x:c r="A5" s="14" t="str">
        <x:v>Project 1</x:v>
      </x:c>
      <x:c r="B5" s="15" t="n">
        <x:v>2</x:v>
      </x:c>
      <x:c r="C5" s="15" t="str">
        <x:v>D03</x:v>
      </x:c>
      <x:c r="D5" s="15" t="n">
        <x:v>3</x:v>
      </x:c>
    </x:row>
    <x:row r="6">
      <x:c r="A6" s="14" t="str">
        <x:v>Project 1</x:v>
      </x:c>
      <x:c r="B6" s="15" t="n">
        <x:v>3</x:v>
      </x:c>
      <x:c r="C6" s="15" t="str">
        <x:v>W03</x:v>
      </x:c>
      <x:c r="D6" s="15" t="n">
        <x:v>4</x:v>
      </x:c>
    </x:row>
    <x:row r="7">
      <x:c r="A7" s="14" t="str">
        <x:v>Project 1</x:v>
      </x:c>
      <x:c r="B7" s="15" t="n">
        <x:v>3</x:v>
      </x:c>
      <x:c r="C7" s="15" t="str">
        <x:v>D03</x:v>
      </x:c>
      <x:c r="D7" s="15" t="n">
        <x:v>2</x:v>
      </x:c>
    </x:row>
    <x:row r="8">
      <x:c r="A8" s="14" t="str">
        <x:v>Project 1</x:v>
      </x:c>
      <x:c r="B8" s="15" t="n">
        <x:v>4</x:v>
      </x:c>
      <x:c r="C8" s="15" t="str">
        <x:v>W01</x:v>
      </x:c>
      <x:c r="D8" s="15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ce5667b9e2794433"/>
  </x:tableParts>
</x:worksheet>
</file>